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8813599-18DD-4D40-93FF-78492FB449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lculator" sheetId="1" r:id="rId1"/>
    <sheet name="Villa" sheetId="2" r:id="rId2"/>
  </sheets>
  <calcPr calcId="191029"/>
  <extLst>
    <ext uri="GoogleSheetsCustomDataVersion2">
      <go:sheetsCustomData xmlns:go="http://customooxmlschemas.google.com/" r:id="rId5" roundtripDataChecksum="ssrwsu+6Gd1bcuLYDd83jusuRBHItaxTClifjzhvY7k="/>
    </ext>
  </extLst>
</workbook>
</file>

<file path=xl/calcChain.xml><?xml version="1.0" encoding="utf-8"?>
<calcChain xmlns="http://schemas.openxmlformats.org/spreadsheetml/2006/main">
  <c r="B8" i="1" l="1"/>
  <c r="L37" i="1"/>
  <c r="L39" i="1" s="1"/>
  <c r="M37" i="1"/>
  <c r="M39" i="1" s="1"/>
  <c r="B37" i="1"/>
  <c r="B39" i="1" s="1"/>
  <c r="K37" i="1"/>
  <c r="K39" i="1" s="1"/>
  <c r="J37" i="1"/>
  <c r="J39" i="1" s="1"/>
  <c r="I37" i="1"/>
  <c r="I39" i="1" s="1"/>
  <c r="H37" i="1"/>
  <c r="H39" i="1" s="1"/>
  <c r="G37" i="1"/>
  <c r="G39" i="1" s="1"/>
  <c r="F37" i="1"/>
  <c r="F39" i="1" s="1"/>
  <c r="E37" i="1"/>
  <c r="E39" i="1" s="1"/>
  <c r="D37" i="1"/>
  <c r="D39" i="1" s="1"/>
  <c r="C37" i="1"/>
  <c r="C39" i="1" s="1"/>
  <c r="B39" i="2"/>
  <c r="C20" i="2" s="1"/>
  <c r="N38" i="2"/>
  <c r="C37" i="2"/>
  <c r="C39" i="2" s="1"/>
  <c r="C21" i="2" s="1"/>
  <c r="B20" i="2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14" i="2"/>
  <c r="B8" i="2"/>
  <c r="B9" i="2" s="1"/>
  <c r="B15" i="2" s="1"/>
  <c r="D37" i="2" l="1"/>
  <c r="D39" i="2" l="1"/>
  <c r="E37" i="2"/>
  <c r="C22" i="2" l="1"/>
  <c r="F37" i="2"/>
  <c r="E39" i="2"/>
  <c r="C23" i="2" s="1"/>
  <c r="G37" i="2" l="1"/>
  <c r="F39" i="2"/>
  <c r="B9" i="1"/>
  <c r="C20" i="1"/>
  <c r="N38" i="1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4" i="1"/>
  <c r="C21" i="1" l="1"/>
  <c r="C22" i="1"/>
  <c r="B15" i="1"/>
  <c r="C24" i="2"/>
  <c r="H37" i="2"/>
  <c r="G39" i="2"/>
  <c r="C25" i="2" s="1"/>
  <c r="I37" i="2" l="1"/>
  <c r="H39" i="2"/>
  <c r="C23" i="1" l="1"/>
  <c r="C26" i="2"/>
  <c r="I39" i="2"/>
  <c r="C27" i="2" s="1"/>
  <c r="J37" i="2"/>
  <c r="C24" i="1" l="1"/>
  <c r="J39" i="2"/>
  <c r="C28" i="2" s="1"/>
  <c r="K37" i="2"/>
  <c r="K39" i="2" l="1"/>
  <c r="C29" i="2" s="1"/>
  <c r="L37" i="2"/>
  <c r="C25" i="1"/>
  <c r="C26" i="1"/>
  <c r="L39" i="2" l="1"/>
  <c r="C30" i="2" s="1"/>
  <c r="M37" i="2"/>
  <c r="C27" i="1"/>
  <c r="M39" i="2" l="1"/>
  <c r="N37" i="2"/>
  <c r="C31" i="2" l="1"/>
  <c r="C32" i="2" s="1"/>
  <c r="N39" i="2"/>
  <c r="C28" i="1"/>
  <c r="C29" i="1"/>
  <c r="H8" i="2" l="1"/>
  <c r="F8" i="2"/>
  <c r="E8" i="2"/>
  <c r="G8" i="2"/>
  <c r="D8" i="2"/>
  <c r="C8" i="2"/>
  <c r="C30" i="1"/>
  <c r="H13" i="2" l="1"/>
  <c r="H14" i="2" s="1"/>
  <c r="H15" i="2" s="1"/>
  <c r="H16" i="2" s="1"/>
  <c r="F13" i="2"/>
  <c r="F14" i="2" s="1"/>
  <c r="F15" i="2" s="1"/>
  <c r="F16" i="2" s="1"/>
  <c r="C13" i="2"/>
  <c r="C14" i="2" s="1"/>
  <c r="C15" i="2" s="1"/>
  <c r="C16" i="2" s="1"/>
  <c r="D13" i="2"/>
  <c r="D14" i="2" s="1"/>
  <c r="D15" i="2" s="1"/>
  <c r="D16" i="2" s="1"/>
  <c r="G13" i="2"/>
  <c r="G14" i="2" s="1"/>
  <c r="G15" i="2" s="1"/>
  <c r="G16" i="2" s="1"/>
  <c r="E13" i="2"/>
  <c r="E14" i="2" s="1"/>
  <c r="E15" i="2" s="1"/>
  <c r="E16" i="2" s="1"/>
  <c r="N37" i="1"/>
  <c r="C31" i="1" l="1"/>
  <c r="C32" i="1" s="1"/>
  <c r="N39" i="1"/>
  <c r="C8" i="1" l="1"/>
  <c r="H8" i="1"/>
  <c r="G8" i="1"/>
  <c r="F8" i="1"/>
  <c r="E8" i="1"/>
  <c r="D8" i="1"/>
  <c r="D13" i="1" l="1"/>
  <c r="D14" i="1" s="1"/>
  <c r="D15" i="1" s="1"/>
  <c r="D16" i="1" s="1"/>
  <c r="E13" i="1"/>
  <c r="E14" i="1" s="1"/>
  <c r="E15" i="1" s="1"/>
  <c r="F13" i="1"/>
  <c r="F14" i="1" s="1"/>
  <c r="F15" i="1" s="1"/>
  <c r="F16" i="1" s="1"/>
  <c r="G13" i="1"/>
  <c r="G14" i="1" s="1"/>
  <c r="G15" i="1" s="1"/>
  <c r="G16" i="1" s="1"/>
  <c r="H13" i="1"/>
  <c r="H14" i="1" s="1"/>
  <c r="H15" i="1" s="1"/>
  <c r="H16" i="1" s="1"/>
  <c r="C13" i="1"/>
  <c r="C14" i="1" s="1"/>
  <c r="C15" i="1" s="1"/>
  <c r="C16" i="1" s="1"/>
  <c r="E16" i="1" l="1"/>
</calcChain>
</file>

<file path=xl/sharedStrings.xml><?xml version="1.0" encoding="utf-8"?>
<sst xmlns="http://schemas.openxmlformats.org/spreadsheetml/2006/main" count="92" uniqueCount="48">
  <si>
    <t>Long-term rental</t>
  </si>
  <si>
    <t>Occupancy Rate</t>
  </si>
  <si>
    <t>Classic</t>
  </si>
  <si>
    <t>Gross Annual Revenue</t>
  </si>
  <si>
    <t>Occupancy Rate 90%</t>
  </si>
  <si>
    <t>Inernet/phone</t>
  </si>
  <si>
    <t>Utility Bills</t>
  </si>
  <si>
    <t>Maintenance</t>
  </si>
  <si>
    <t>-</t>
  </si>
  <si>
    <t>Total Expenses</t>
  </si>
  <si>
    <t>Net Annual Income</t>
  </si>
  <si>
    <t>Increased Rental Return</t>
  </si>
  <si>
    <t>Expected Revenue</t>
  </si>
  <si>
    <t>LONG TERM</t>
  </si>
  <si>
    <t>SHORT TERM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</si>
  <si>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</si>
  <si>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</si>
  <si>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</si>
  <si>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</si>
  <si>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</si>
  <si>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</si>
  <si>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</si>
  <si>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</si>
  <si>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</si>
  <si>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</si>
  <si>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</si>
  <si>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</si>
  <si>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Jan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</si>
  <si>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</si>
  <si>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</si>
  <si>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</si>
  <si>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</si>
  <si>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</si>
  <si>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</si>
  <si>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</si>
  <si>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</si>
  <si>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</si>
  <si>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</si>
  <si>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</si>
  <si>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Avg.</t>
  </si>
  <si>
    <t xml:space="preserve">Avg Daily Rate </t>
  </si>
  <si>
    <t xml:space="preserve">Total Nights </t>
  </si>
  <si>
    <t xml:space="preserve">Expected Revenue </t>
  </si>
  <si>
    <t>Management Fees</t>
  </si>
  <si>
    <t>Management Fees (15%)</t>
  </si>
  <si>
    <t xml:space="preserve"> Holiday Homes (short-term rentals)</t>
  </si>
  <si>
    <t>Holiday Homes (short-term rentals)</t>
  </si>
  <si>
    <t>Management Fees (17%)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</si>
</sst>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8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4"/>
      <color rgb="FFB79C76"/>
      <name val="Calibri"/>
    </font>
    <font>
      <sz val="11"/>
      <name val="Calibri"/>
    </font>
    <font>
      <b/>
      <sz val="10"/>
      <color rgb="FFC55A11"/>
      <name val="Calibri"/>
    </font>
    <font>
      <b/>
      <sz val="10"/>
      <color rgb="FF757070"/>
      <name val="Calibri"/>
    </font>
    <font>
      <b/>
      <sz val="10"/>
      <color rgb="FFB79C76"/>
      <name val="Calibri"/>
    </font>
    <font>
      <b/>
      <sz val="11"/>
      <color theme="0"/>
      <name val="Calibri"/>
    </font>
    <font>
      <b/>
      <sz val="10"/>
      <color theme="1"/>
      <name val="Calibri"/>
    </font>
    <font>
      <b/>
      <sz val="11"/>
      <color rgb="FFB79C76"/>
      <name val="Calibri"/>
    </font>
    <font>
      <sz val="11"/>
      <color rgb="FF30C1BE"/>
      <name val="Calibri"/>
    </font>
    <font>
      <sz val="10"/>
      <color rgb="FF000000"/>
      <name val="Calibri"/>
    </font>
    <font>
      <b/>
      <sz val="10"/>
      <color rgb="FF1155CC"/>
      <name val="Calibri"/>
    </font>
    <font>
      <sz val="10"/>
      <color theme="1"/>
      <name val="Calibri"/>
    </font>
    <font>
      <b/>
      <sz val="10"/>
      <color theme="2"/>
      <name val="Calibri"/>
      <family val="2"/>
    </font>
    <font>
      <b/>
      <sz val="11"/>
      <color theme="2"/>
      <name val="Calibri"/>
      <family val="2"/>
    </font>
    <font>
      <b/>
      <sz val="11"/>
      <color theme="0" tint="-4.9989318521683403E-2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79C76"/>
        <bgColor rgb="FFB79C76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rgb="FFB79C76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A4C2F4"/>
      </patternFill>
    </fill>
    <fill>
      <patternFill patternType="solid">
        <fgColor rgb="FFCC9900"/>
        <bgColor rgb="FFD8D8D8"/>
      </patternFill>
    </fill>
    <fill>
      <patternFill patternType="solid">
        <fgColor rgb="FFCC9900"/>
        <bgColor rgb="FFD0CECE"/>
      </patternFill>
    </fill>
  </fills>
  <borders count="34">
    <border>
      <left/>
      <right/>
      <top/>
      <bottom/>
      <diagonal/>
    </border>
    <border>
      <left style="medium">
        <color rgb="FFAEABAB"/>
      </left>
      <right/>
      <top style="medium">
        <color rgb="FFAEABAB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AEABAB"/>
      </bottom>
      <diagonal/>
    </border>
    <border>
      <left style="medium">
        <color rgb="FF000000"/>
      </left>
      <right style="medium">
        <color rgb="FFAEABAB"/>
      </right>
      <top style="medium">
        <color rgb="FF000000"/>
      </top>
      <bottom style="medium">
        <color rgb="FFAEABAB"/>
      </bottom>
      <diagonal/>
    </border>
    <border>
      <left style="medium">
        <color rgb="FFAEABAB"/>
      </left>
      <right style="medium">
        <color rgb="FFAEABAB"/>
      </right>
      <top style="medium">
        <color rgb="FF000000"/>
      </top>
      <bottom style="medium">
        <color rgb="FFAEABAB"/>
      </bottom>
      <diagonal/>
    </border>
    <border>
      <left style="medium">
        <color rgb="FFAEABAB"/>
      </left>
      <right style="medium">
        <color rgb="FF000000"/>
      </right>
      <top style="medium">
        <color rgb="FF000000"/>
      </top>
      <bottom style="medium">
        <color rgb="FFAEABAB"/>
      </bottom>
      <diagonal/>
    </border>
    <border>
      <left style="medium">
        <color rgb="FF000000"/>
      </left>
      <right style="medium">
        <color rgb="FF000000"/>
      </right>
      <top style="medium">
        <color rgb="FFAEABAB"/>
      </top>
      <bottom style="medium">
        <color rgb="FFAEABAB"/>
      </bottom>
      <diagonal/>
    </border>
    <border>
      <left style="medium">
        <color rgb="FF000000"/>
      </left>
      <right style="medium">
        <color rgb="FFAEABAB"/>
      </right>
      <top style="medium">
        <color rgb="FFAEABAB"/>
      </top>
      <bottom style="medium">
        <color rgb="FFAEABAB"/>
      </bottom>
      <diagonal/>
    </border>
    <border>
      <left style="medium">
        <color rgb="FFAEABAB"/>
      </left>
      <right style="medium">
        <color rgb="FFAEABAB"/>
      </right>
      <top style="medium">
        <color rgb="FFAEABAB"/>
      </top>
      <bottom style="medium">
        <color rgb="FFAEABAB"/>
      </bottom>
      <diagonal/>
    </border>
    <border>
      <left style="medium">
        <color rgb="FFAEABAB"/>
      </left>
      <right style="medium">
        <color rgb="FF000000"/>
      </right>
      <top style="medium">
        <color rgb="FFAEABAB"/>
      </top>
      <bottom style="medium">
        <color rgb="FFAEABAB"/>
      </bottom>
      <diagonal/>
    </border>
    <border>
      <left style="medium">
        <color rgb="FF000000"/>
      </left>
      <right style="medium">
        <color rgb="FFAEABAB"/>
      </right>
      <top style="medium">
        <color rgb="FFAEABAB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AEABAB"/>
      </left>
      <right style="medium">
        <color rgb="FF000000"/>
      </right>
      <top/>
      <bottom style="medium">
        <color rgb="FFAEABAB"/>
      </bottom>
      <diagonal/>
    </border>
    <border>
      <left style="medium">
        <color rgb="FF000000"/>
      </left>
      <right style="medium">
        <color rgb="FF000000"/>
      </right>
      <top style="medium">
        <color rgb="FFAEABAB"/>
      </top>
      <bottom/>
      <diagonal/>
    </border>
    <border>
      <left style="medium">
        <color rgb="FFAEABAB"/>
      </left>
      <right style="medium">
        <color rgb="FFAEABAB"/>
      </right>
      <top style="medium">
        <color rgb="FFAEABAB"/>
      </top>
      <bottom/>
      <diagonal/>
    </border>
    <border>
      <left style="medium">
        <color rgb="FFAEABAB"/>
      </left>
      <right style="medium">
        <color rgb="FFAEABAB"/>
      </right>
      <top style="medium">
        <color rgb="FFAEABAB"/>
      </top>
      <bottom/>
      <diagonal/>
    </border>
    <border>
      <left style="medium">
        <color rgb="FFAEABAB"/>
      </left>
      <right style="medium">
        <color rgb="FF000000"/>
      </right>
      <top style="medium">
        <color rgb="FFAEABAB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AEABAB"/>
      </right>
      <top style="medium">
        <color rgb="FF000000"/>
      </top>
      <bottom style="medium">
        <color rgb="FF000000"/>
      </bottom>
      <diagonal/>
    </border>
    <border>
      <left style="medium">
        <color rgb="FFAEABAB"/>
      </left>
      <right style="medium">
        <color rgb="FFAEABAB"/>
      </right>
      <top style="medium">
        <color rgb="FF000000"/>
      </top>
      <bottom style="medium">
        <color rgb="FF000000"/>
      </bottom>
      <diagonal/>
    </border>
    <border>
      <left style="medium">
        <color rgb="FFAEABAB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AEABAB"/>
      </right>
      <top/>
      <bottom style="medium">
        <color rgb="FF000000"/>
      </bottom>
      <diagonal/>
    </border>
    <border>
      <left style="medium">
        <color rgb="FFAEABAB"/>
      </left>
      <right style="medium">
        <color rgb="FFAEABAB"/>
      </right>
      <top/>
      <bottom style="medium">
        <color rgb="FF000000"/>
      </bottom>
      <diagonal/>
    </border>
    <border>
      <left style="medium">
        <color rgb="FFAEABAB"/>
      </left>
      <right style="medium">
        <color rgb="FFAEABAB"/>
      </right>
      <top/>
      <bottom style="medium">
        <color rgb="FF000000"/>
      </bottom>
      <diagonal/>
    </border>
    <border>
      <left style="medium">
        <color rgb="FFAEABAB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wrapText="1"/>
    </xf>
    <xf numFmtId="0" fontId="5" fillId="0" borderId="6" xfId="0" applyFont="1" applyBorder="1"/>
    <xf numFmtId="1" fontId="6" fillId="0" borderId="6" xfId="0" applyNumberFormat="1" applyFont="1" applyBorder="1" applyAlignment="1">
      <alignment horizontal="center"/>
    </xf>
    <xf numFmtId="9" fontId="5" fillId="0" borderId="7" xfId="0" applyNumberFormat="1" applyFont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9" fontId="5" fillId="0" borderId="9" xfId="0" applyNumberFormat="1" applyFont="1" applyBorder="1" applyAlignment="1">
      <alignment horizontal="center" vertical="center"/>
    </xf>
    <xf numFmtId="0" fontId="5" fillId="0" borderId="10" xfId="0" applyFont="1" applyBorder="1"/>
    <xf numFmtId="164" fontId="6" fillId="0" borderId="10" xfId="0" applyNumberFormat="1" applyFont="1" applyBorder="1" applyAlignment="1">
      <alignment horizontal="center"/>
    </xf>
    <xf numFmtId="164" fontId="7" fillId="0" borderId="11" xfId="0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164" fontId="7" fillId="0" borderId="13" xfId="0" applyNumberFormat="1" applyFont="1" applyBorder="1" applyAlignment="1">
      <alignment horizontal="center"/>
    </xf>
    <xf numFmtId="164" fontId="7" fillId="0" borderId="14" xfId="0" applyNumberFormat="1" applyFont="1" applyBorder="1" applyAlignment="1">
      <alignment horizontal="center"/>
    </xf>
    <xf numFmtId="164" fontId="7" fillId="0" borderId="16" xfId="0" applyNumberFormat="1" applyFont="1" applyBorder="1" applyAlignment="1">
      <alignment horizontal="center"/>
    </xf>
    <xf numFmtId="0" fontId="5" fillId="0" borderId="17" xfId="0" applyFont="1" applyBorder="1"/>
    <xf numFmtId="164" fontId="6" fillId="0" borderId="17" xfId="0" applyNumberFormat="1" applyFont="1" applyBorder="1" applyAlignment="1">
      <alignment horizontal="center"/>
    </xf>
    <xf numFmtId="164" fontId="7" fillId="0" borderId="18" xfId="0" applyNumberFormat="1" applyFont="1" applyBorder="1" applyAlignment="1">
      <alignment horizontal="center"/>
    </xf>
    <xf numFmtId="164" fontId="7" fillId="0" borderId="20" xfId="0" applyNumberFormat="1" applyFont="1" applyBorder="1" applyAlignment="1">
      <alignment horizontal="center"/>
    </xf>
    <xf numFmtId="0" fontId="5" fillId="0" borderId="25" xfId="0" applyFont="1" applyBorder="1"/>
    <xf numFmtId="1" fontId="9" fillId="0" borderId="26" xfId="0" applyNumberFormat="1" applyFont="1" applyBorder="1" applyAlignment="1">
      <alignment horizontal="center"/>
    </xf>
    <xf numFmtId="9" fontId="10" fillId="0" borderId="27" xfId="0" applyNumberFormat="1" applyFont="1" applyBorder="1" applyAlignment="1">
      <alignment horizontal="right"/>
    </xf>
    <xf numFmtId="9" fontId="10" fillId="0" borderId="28" xfId="0" applyNumberFormat="1" applyFont="1" applyBorder="1" applyAlignment="1">
      <alignment horizontal="right"/>
    </xf>
    <xf numFmtId="9" fontId="10" fillId="0" borderId="30" xfId="0" applyNumberFormat="1" applyFont="1" applyBorder="1" applyAlignment="1">
      <alignment horizontal="right"/>
    </xf>
    <xf numFmtId="0" fontId="11" fillId="3" borderId="12" xfId="0" applyFont="1" applyFill="1" applyBorder="1"/>
    <xf numFmtId="0" fontId="1" fillId="2" borderId="12" xfId="0" applyFont="1" applyFill="1" applyBorder="1"/>
    <xf numFmtId="164" fontId="1" fillId="0" borderId="12" xfId="0" applyNumberFormat="1" applyFont="1" applyBorder="1"/>
    <xf numFmtId="164" fontId="1" fillId="5" borderId="31" xfId="0" applyNumberFormat="1" applyFont="1" applyFill="1" applyBorder="1"/>
    <xf numFmtId="164" fontId="1" fillId="0" borderId="0" xfId="0" applyNumberFormat="1" applyFont="1"/>
    <xf numFmtId="0" fontId="12" fillId="0" borderId="0" xfId="0" applyFont="1"/>
    <xf numFmtId="0" fontId="9" fillId="0" borderId="0" xfId="0" applyFont="1" applyAlignment="1">
      <alignment horizontal="center"/>
    </xf>
    <xf numFmtId="0" fontId="13" fillId="6" borderId="32" xfId="0" applyFont="1" applyFill="1" applyBorder="1" applyAlignment="1">
      <alignment horizontal="center"/>
    </xf>
    <xf numFmtId="0" fontId="14" fillId="7" borderId="15" xfId="0" applyFont="1" applyFill="1" applyBorder="1" applyAlignment="1">
      <alignment horizontal="left"/>
    </xf>
    <xf numFmtId="3" fontId="14" fillId="8" borderId="15" xfId="0" applyNumberFormat="1" applyFont="1" applyFill="1" applyBorder="1" applyAlignment="1">
      <alignment horizontal="center"/>
    </xf>
    <xf numFmtId="3" fontId="14" fillId="0" borderId="15" xfId="0" applyNumberFormat="1" applyFont="1" applyBorder="1" applyAlignment="1">
      <alignment horizontal="center"/>
    </xf>
    <xf numFmtId="3" fontId="13" fillId="6" borderId="15" xfId="0" applyNumberFormat="1" applyFont="1" applyFill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3" fillId="6" borderId="15" xfId="0" applyFont="1" applyFill="1" applyBorder="1" applyAlignment="1">
      <alignment horizontal="center"/>
    </xf>
    <xf numFmtId="0" fontId="2" fillId="0" borderId="0" xfId="0" applyFont="1"/>
    <xf numFmtId="9" fontId="2" fillId="9" borderId="31" xfId="0" applyNumberFormat="1" applyFont="1" applyFill="1" applyBorder="1"/>
    <xf numFmtId="164" fontId="7" fillId="0" borderId="19" xfId="0" applyNumberFormat="1" applyFont="1" applyBorder="1" applyAlignment="1">
      <alignment horizontal="center"/>
    </xf>
    <xf numFmtId="9" fontId="10" fillId="0" borderId="29" xfId="0" applyNumberFormat="1" applyFont="1" applyBorder="1" applyAlignment="1">
      <alignment horizontal="right"/>
    </xf>
    <xf numFmtId="9" fontId="10" fillId="10" borderId="28" xfId="0" applyNumberFormat="1" applyFont="1" applyFill="1" applyBorder="1" applyAlignment="1">
      <alignment horizontal="right"/>
    </xf>
    <xf numFmtId="0" fontId="5" fillId="11" borderId="21" xfId="0" applyFont="1" applyFill="1" applyBorder="1"/>
    <xf numFmtId="164" fontId="8" fillId="11" borderId="21" xfId="0" applyNumberFormat="1" applyFont="1" applyFill="1" applyBorder="1" applyAlignment="1">
      <alignment horizontal="center"/>
    </xf>
    <xf numFmtId="164" fontId="8" fillId="11" borderId="22" xfId="0" applyNumberFormat="1" applyFont="1" applyFill="1" applyBorder="1" applyAlignment="1">
      <alignment horizontal="center"/>
    </xf>
    <xf numFmtId="164" fontId="8" fillId="11" borderId="23" xfId="0" applyNumberFormat="1" applyFont="1" applyFill="1" applyBorder="1" applyAlignment="1">
      <alignment horizontal="center"/>
    </xf>
    <xf numFmtId="164" fontId="8" fillId="12" borderId="23" xfId="0" applyNumberFormat="1" applyFont="1" applyFill="1" applyBorder="1" applyAlignment="1">
      <alignment horizontal="center"/>
    </xf>
    <xf numFmtId="164" fontId="8" fillId="11" borderId="24" xfId="0" applyNumberFormat="1" applyFont="1" applyFill="1" applyBorder="1" applyAlignment="1">
      <alignment horizontal="center"/>
    </xf>
    <xf numFmtId="9" fontId="5" fillId="13" borderId="8" xfId="0" applyNumberFormat="1" applyFont="1" applyFill="1" applyBorder="1" applyAlignment="1">
      <alignment horizontal="center" vertical="center"/>
    </xf>
    <xf numFmtId="164" fontId="7" fillId="13" borderId="12" xfId="0" applyNumberFormat="1" applyFont="1" applyFill="1" applyBorder="1" applyAlignment="1">
      <alignment horizontal="center"/>
    </xf>
    <xf numFmtId="164" fontId="7" fillId="13" borderId="11" xfId="0" applyNumberFormat="1" applyFont="1" applyFill="1" applyBorder="1" applyAlignment="1">
      <alignment horizontal="center"/>
    </xf>
    <xf numFmtId="164" fontId="7" fillId="13" borderId="18" xfId="0" applyNumberFormat="1" applyFont="1" applyFill="1" applyBorder="1" applyAlignment="1">
      <alignment horizontal="center"/>
    </xf>
    <xf numFmtId="0" fontId="0" fillId="14" borderId="0" xfId="0" applyFill="1"/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1" fillId="0" borderId="33" xfId="0" applyFont="1" applyBorder="1"/>
    <xf numFmtId="0" fontId="2" fillId="2" borderId="33" xfId="0" applyFont="1" applyFill="1" applyBorder="1" applyAlignment="1">
      <alignment wrapText="1"/>
    </xf>
    <xf numFmtId="0" fontId="3" fillId="2" borderId="33" xfId="0" applyFont="1" applyFill="1" applyBorder="1" applyAlignment="1">
      <alignment horizontal="center" vertical="center"/>
    </xf>
    <xf numFmtId="0" fontId="4" fillId="0" borderId="33" xfId="0" applyFont="1" applyBorder="1"/>
    <xf numFmtId="0" fontId="5" fillId="0" borderId="33" xfId="0" applyFont="1" applyBorder="1"/>
    <xf numFmtId="1" fontId="6" fillId="0" borderId="33" xfId="0" applyNumberFormat="1" applyFont="1" applyBorder="1" applyAlignment="1">
      <alignment horizontal="center"/>
    </xf>
    <xf numFmtId="9" fontId="5" fillId="0" borderId="33" xfId="0" applyNumberFormat="1" applyFont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/>
    </xf>
    <xf numFmtId="164" fontId="7" fillId="0" borderId="33" xfId="0" applyNumberFormat="1" applyFont="1" applyBorder="1" applyAlignment="1">
      <alignment horizontal="center"/>
    </xf>
    <xf numFmtId="0" fontId="5" fillId="4" borderId="33" xfId="0" applyFont="1" applyFill="1" applyBorder="1"/>
    <xf numFmtId="164" fontId="8" fillId="4" borderId="33" xfId="0" applyNumberFormat="1" applyFont="1" applyFill="1" applyBorder="1" applyAlignment="1">
      <alignment horizontal="center"/>
    </xf>
    <xf numFmtId="1" fontId="9" fillId="0" borderId="33" xfId="0" applyNumberFormat="1" applyFont="1" applyBorder="1" applyAlignment="1">
      <alignment horizontal="center"/>
    </xf>
    <xf numFmtId="9" fontId="10" fillId="0" borderId="33" xfId="0" applyNumberFormat="1" applyFont="1" applyBorder="1" applyAlignment="1">
      <alignment horizontal="right"/>
    </xf>
    <xf numFmtId="3" fontId="14" fillId="15" borderId="15" xfId="0" applyNumberFormat="1" applyFont="1" applyFill="1" applyBorder="1" applyAlignment="1">
      <alignment horizontal="center"/>
    </xf>
    <xf numFmtId="3" fontId="13" fillId="16" borderId="15" xfId="0" applyNumberFormat="1" applyFont="1" applyFill="1" applyBorder="1" applyAlignment="1">
      <alignment horizontal="center"/>
    </xf>
    <xf numFmtId="9" fontId="5" fillId="17" borderId="33" xfId="0" applyNumberFormat="1" applyFont="1" applyFill="1" applyBorder="1" applyAlignment="1">
      <alignment horizontal="center" vertical="center"/>
    </xf>
    <xf numFmtId="164" fontId="15" fillId="17" borderId="33" xfId="0" applyNumberFormat="1" applyFont="1" applyFill="1" applyBorder="1" applyAlignment="1">
      <alignment horizontal="center"/>
    </xf>
    <xf numFmtId="164" fontId="15" fillId="18" borderId="33" xfId="0" applyNumberFormat="1" applyFont="1" applyFill="1" applyBorder="1" applyAlignment="1">
      <alignment horizontal="center"/>
    </xf>
    <xf numFmtId="9" fontId="16" fillId="17" borderId="33" xfId="0" applyNumberFormat="1" applyFont="1" applyFill="1" applyBorder="1" applyAlignment="1">
      <alignment horizontal="right"/>
    </xf>
    <xf numFmtId="164" fontId="17" fillId="4" borderId="3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  <color rgb="FFFFCC66"/>
      <color rgb="FFB79C76"/>
      <color rgb="FFD8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7.9620079250801959E-2"/>
          <c:y val="8.3040745368083604E-2"/>
          <c:w val="0.91001807400294799"/>
          <c:h val="0.61682928010382465"/>
        </c:manualLayout>
      </c:layout>
      <c:barChart>
        <c:barDir val="col"/>
        <c:grouping val="clustered"/>
        <c:varyColors val="1"/>
        <c:ser>
          <c:idx val="0"/>
          <c:order val="0"/>
          <c:tx>
            <c:v>LONG TERM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100" b="1" i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Calculator!$A$20:$A$31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Calculator!$B$20:$B$31</c:f>
              <c:numCache>
                <c:formatCode>_(* #,##0_);_(* \(#,##0\);_(* "-"??_);_(@_)</c:formatCode>
                <c:ptCount val="12"/>
                <c:pt idx="0">
                  <c:v>12500</c:v>
                </c:pt>
                <c:pt idx="1">
                  <c:v>12500</c:v>
                </c:pt>
                <c:pt idx="2">
                  <c:v>12500</c:v>
                </c:pt>
                <c:pt idx="3">
                  <c:v>12500</c:v>
                </c:pt>
                <c:pt idx="4">
                  <c:v>12500</c:v>
                </c:pt>
                <c:pt idx="5">
                  <c:v>12500</c:v>
                </c:pt>
                <c:pt idx="6">
                  <c:v>12500</c:v>
                </c:pt>
                <c:pt idx="7">
                  <c:v>12500</c:v>
                </c:pt>
                <c:pt idx="8">
                  <c:v>12500</c:v>
                </c:pt>
                <c:pt idx="9">
                  <c:v>12500</c:v>
                </c:pt>
                <c:pt idx="10">
                  <c:v>12500</c:v>
                </c:pt>
                <c:pt idx="11">
                  <c:v>12500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92D-4FFE-9460-03D2AC4A9CB9}"/>
            </c:ext>
          </c:extLst>
        </c:ser>
        <c:ser>
          <c:idx val="1"/>
          <c:order val="1"/>
          <c:tx>
            <c:v>SHORT TERM</c:v>
          </c:tx>
          <c:spPr>
            <a:solidFill>
              <a:srgbClr val="B79C76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Calculator!$A$20:$A$31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Calculator!$C$20:$C$31</c:f>
              <c:numCache>
                <c:formatCode>_(* #,##0_);_(* \(#,##0\);_(* "-"??_);_(@_)</c:formatCode>
                <c:ptCount val="12"/>
                <c:pt idx="0">
                  <c:v>27667.5</c:v>
                </c:pt>
                <c:pt idx="1">
                  <c:v>25872</c:v>
                </c:pt>
                <c:pt idx="2">
                  <c:v>27667.5</c:v>
                </c:pt>
                <c:pt idx="3">
                  <c:v>25830</c:v>
                </c:pt>
                <c:pt idx="4">
                  <c:v>24738</c:v>
                </c:pt>
                <c:pt idx="5">
                  <c:v>17325</c:v>
                </c:pt>
                <c:pt idx="6">
                  <c:v>16600.5</c:v>
                </c:pt>
                <c:pt idx="7">
                  <c:v>18228</c:v>
                </c:pt>
                <c:pt idx="8">
                  <c:v>19845</c:v>
                </c:pt>
                <c:pt idx="9">
                  <c:v>22785</c:v>
                </c:pt>
                <c:pt idx="10">
                  <c:v>25830</c:v>
                </c:pt>
                <c:pt idx="11">
                  <c:v>30922.5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92D-4FFE-9460-03D2AC4A9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0261746"/>
        <c:axId val="11645410"/>
      </c:barChart>
      <c:catAx>
        <c:axId val="570261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45410"/>
        <c:crosses val="autoZero"/>
        <c:auto val="1"/>
        <c:lblAlgn val="ctr"/>
        <c:lblOffset val="100"/>
        <c:noMultiLvlLbl val="1"/>
      </c:catAx>
      <c:valAx>
        <c:axId val="11645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026174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7.9620079250801959E-2"/>
          <c:y val="8.3040745368083604E-2"/>
          <c:w val="0.91001807400294799"/>
          <c:h val="0.61682928010382465"/>
        </c:manualLayout>
      </c:layout>
      <c:barChart>
        <c:barDir val="col"/>
        <c:grouping val="clustered"/>
        <c:varyColors val="1"/>
        <c:ser>
          <c:idx val="0"/>
          <c:order val="0"/>
          <c:tx>
            <c:v>LONG TERM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100" b="1" i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Calculator!$A$20:$A$31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Calculator!$B$20:$B$31</c:f>
              <c:numCache>
                <c:formatCode>_(* #,##0_);_(* \(#,##0\);_(* "-"??_);_(@_)</c:formatCode>
                <c:ptCount val="12"/>
                <c:pt idx="0">
                  <c:v>12500</c:v>
                </c:pt>
                <c:pt idx="1">
                  <c:v>12500</c:v>
                </c:pt>
                <c:pt idx="2">
                  <c:v>12500</c:v>
                </c:pt>
                <c:pt idx="3">
                  <c:v>12500</c:v>
                </c:pt>
                <c:pt idx="4">
                  <c:v>12500</c:v>
                </c:pt>
                <c:pt idx="5">
                  <c:v>12500</c:v>
                </c:pt>
                <c:pt idx="6">
                  <c:v>12500</c:v>
                </c:pt>
                <c:pt idx="7">
                  <c:v>12500</c:v>
                </c:pt>
                <c:pt idx="8">
                  <c:v>12500</c:v>
                </c:pt>
                <c:pt idx="9">
                  <c:v>12500</c:v>
                </c:pt>
                <c:pt idx="10">
                  <c:v>12500</c:v>
                </c:pt>
                <c:pt idx="11">
                  <c:v>12500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776-4938-8390-76606094E375}"/>
            </c:ext>
          </c:extLst>
        </c:ser>
        <c:ser>
          <c:idx val="1"/>
          <c:order val="1"/>
          <c:tx>
            <c:v>SHORT TERM</c:v>
          </c:tx>
          <c:spPr>
            <a:solidFill>
              <a:srgbClr val="B79C76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Calculator!$A$20:$A$31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Calculator!$C$20:$C$31</c:f>
              <c:numCache>
                <c:formatCode>_(* #,##0_);_(* \(#,##0\);_(* "-"??_);_(@_)</c:formatCode>
                <c:ptCount val="12"/>
                <c:pt idx="0">
                  <c:v>27667.5</c:v>
                </c:pt>
                <c:pt idx="1">
                  <c:v>25872</c:v>
                </c:pt>
                <c:pt idx="2">
                  <c:v>27667.5</c:v>
                </c:pt>
                <c:pt idx="3">
                  <c:v>25830</c:v>
                </c:pt>
                <c:pt idx="4">
                  <c:v>24738</c:v>
                </c:pt>
                <c:pt idx="5">
                  <c:v>17325</c:v>
                </c:pt>
                <c:pt idx="6">
                  <c:v>16600.5</c:v>
                </c:pt>
                <c:pt idx="7">
                  <c:v>18228</c:v>
                </c:pt>
                <c:pt idx="8">
                  <c:v>19845</c:v>
                </c:pt>
                <c:pt idx="9">
                  <c:v>22785</c:v>
                </c:pt>
                <c:pt idx="10">
                  <c:v>25830</c:v>
                </c:pt>
                <c:pt idx="11">
                  <c:v>30922.5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776-4938-8390-76606094E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0261746"/>
        <c:axId val="11645410"/>
      </c:barChart>
      <c:catAx>
        <c:axId val="570261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45410"/>
        <c:crosses val="autoZero"/>
        <c:auto val="1"/>
        <c:lblAlgn val="ctr"/>
        <c:lblOffset val="100"/>
        <c:noMultiLvlLbl val="1"/>
      </c:catAx>
      <c:valAx>
        <c:axId val="11645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026174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409575</xdr:colOff>
      <xdr:row>18</xdr:row>
      <xdr:rowOff>9525</xdr:rowOff>
    </xdr:from>
    <xdr:ext cx="7610475" cy="2609850"/>
    <xdr:graphicFrame macro="">
      <xdr:nvGraphicFramePr>
        <xdr:cNvPr id="813783709" name="Chart 1" title="Chart">
          <a:extLst>
            <a:ext uri="{FF2B5EF4-FFF2-40B4-BE49-F238E27FC236}">
              <a16:creationId xmlns:a16="http://schemas.microsoft.com/office/drawing/2014/main" id="{00000000-0008-0000-0000-00009D5A8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409575</xdr:colOff>
      <xdr:row>18</xdr:row>
      <xdr:rowOff>9525</xdr:rowOff>
    </xdr:from>
    <xdr:ext cx="7610475" cy="26098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B8DAE14B-9D79-4D3F-9325-E96142B9D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6:Z1001"/>
  <sheetViews>
    <sheetView showGridLines="0" tabSelected="1" zoomScale="90" zoomScaleNormal="90" workbookViewId="0">
      <selection activeCell="H42" sqref="H42"/>
    </sheetView>
  </sheetViews>
  <sheetFormatPr defaultColWidth="14.453125" defaultRowHeight="15" customHeight="1"/>
  <cols>
    <col min="1" max="1" width="23.08984375" customWidth="1"/>
    <col min="2" max="2" width="10.453125" customWidth="1"/>
    <col min="3" max="6" width="11.90625" customWidth="1"/>
    <col min="7" max="7" width="11.1796875" customWidth="1"/>
    <col min="8" max="8" width="13" customWidth="1"/>
    <col min="9" max="26" width="8.6328125" customWidth="1"/>
  </cols>
  <sheetData>
    <row r="6" spans="1:8" ht="29">
      <c r="A6" s="57"/>
      <c r="B6" s="58" t="s">
        <v>0</v>
      </c>
      <c r="C6" s="59" t="s">
        <v>46</v>
      </c>
      <c r="D6" s="60"/>
      <c r="E6" s="60"/>
      <c r="F6" s="60"/>
      <c r="G6" s="60"/>
      <c r="H6" s="60"/>
    </row>
    <row r="7" spans="1:8" ht="14.5">
      <c r="A7" s="61" t="s">
        <v>1</v>
      </c>
      <c r="B7" s="62" t="s">
        <v>2</v>
      </c>
      <c r="C7" s="63">
        <v>0.75</v>
      </c>
      <c r="D7" s="63">
        <v>0.8</v>
      </c>
      <c r="E7" s="72">
        <v>0.85</v>
      </c>
      <c r="F7" s="63">
        <v>0.9</v>
      </c>
      <c r="G7" s="63">
        <v>0.95</v>
      </c>
      <c r="H7" s="63">
        <v>1</v>
      </c>
    </row>
    <row r="8" spans="1:8" ht="14.5">
      <c r="A8" s="61" t="s">
        <v>3</v>
      </c>
      <c r="B8" s="64">
        <f>B32</f>
        <v>150000</v>
      </c>
      <c r="C8" s="65">
        <f>C7*C32</f>
        <v>212483.25</v>
      </c>
      <c r="D8" s="65">
        <f>D7*C32</f>
        <v>226648.80000000002</v>
      </c>
      <c r="E8" s="73">
        <f>E7*C32</f>
        <v>240814.35</v>
      </c>
      <c r="F8" s="65">
        <f>F7*C32</f>
        <v>254979.9</v>
      </c>
      <c r="G8" s="65">
        <f>G7*C32</f>
        <v>269145.45</v>
      </c>
      <c r="H8" s="65">
        <f>H7*C32</f>
        <v>283311</v>
      </c>
    </row>
    <row r="9" spans="1:8" ht="14.5">
      <c r="A9" s="61" t="s">
        <v>4</v>
      </c>
      <c r="B9" s="64">
        <f>B8*0.9</f>
        <v>135000</v>
      </c>
      <c r="C9" s="65"/>
      <c r="D9" s="65"/>
      <c r="E9" s="73"/>
      <c r="F9" s="65"/>
      <c r="G9" s="65"/>
      <c r="H9" s="65"/>
    </row>
    <row r="10" spans="1:8" ht="14.5">
      <c r="A10" s="61" t="s">
        <v>5</v>
      </c>
      <c r="B10" s="64">
        <v>0</v>
      </c>
      <c r="C10" s="65">
        <v>5400</v>
      </c>
      <c r="D10" s="65">
        <v>5400</v>
      </c>
      <c r="E10" s="73">
        <v>5400</v>
      </c>
      <c r="F10" s="65">
        <v>5400</v>
      </c>
      <c r="G10" s="65">
        <v>5400</v>
      </c>
      <c r="H10" s="65">
        <v>5400</v>
      </c>
    </row>
    <row r="11" spans="1:8" ht="14.5">
      <c r="A11" s="61" t="s">
        <v>6</v>
      </c>
      <c r="B11" s="64">
        <v>0</v>
      </c>
      <c r="C11" s="65">
        <v>12000</v>
      </c>
      <c r="D11" s="65">
        <v>12000</v>
      </c>
      <c r="E11" s="74">
        <v>12000</v>
      </c>
      <c r="F11" s="65">
        <v>12000</v>
      </c>
      <c r="G11" s="65">
        <v>12000</v>
      </c>
      <c r="H11" s="65">
        <v>12000</v>
      </c>
    </row>
    <row r="12" spans="1:8" ht="14.5">
      <c r="A12" s="61" t="s">
        <v>7</v>
      </c>
      <c r="B12" s="64" t="s">
        <v>8</v>
      </c>
      <c r="C12" s="65">
        <v>4000</v>
      </c>
      <c r="D12" s="65">
        <v>4000</v>
      </c>
      <c r="E12" s="73">
        <v>4000</v>
      </c>
      <c r="F12" s="65">
        <v>4000</v>
      </c>
      <c r="G12" s="65">
        <v>4000</v>
      </c>
      <c r="H12" s="65">
        <v>4000</v>
      </c>
    </row>
    <row r="13" spans="1:8" ht="14.5">
      <c r="A13" s="61" t="s">
        <v>47</v>
      </c>
      <c r="B13" s="64">
        <v>0</v>
      </c>
      <c r="C13" s="65">
        <f>C8*B43</f>
        <v>36122.152500000004</v>
      </c>
      <c r="D13" s="65">
        <f>D8*B43</f>
        <v>38530.296000000009</v>
      </c>
      <c r="E13" s="73">
        <f>E8*B43</f>
        <v>40938.4395</v>
      </c>
      <c r="F13" s="65">
        <f>F8*B43</f>
        <v>43346.582999999999</v>
      </c>
      <c r="G13" s="65">
        <f>G8*B43</f>
        <v>45754.726500000004</v>
      </c>
      <c r="H13" s="65">
        <f>H8*B43</f>
        <v>48162.87</v>
      </c>
    </row>
    <row r="14" spans="1:8" ht="14.5">
      <c r="A14" s="61" t="s">
        <v>9</v>
      </c>
      <c r="B14" s="64">
        <f t="shared" ref="B14:H14" si="0">SUM(B10:B13)</f>
        <v>0</v>
      </c>
      <c r="C14" s="65">
        <f t="shared" si="0"/>
        <v>57522.152500000004</v>
      </c>
      <c r="D14" s="65">
        <f t="shared" si="0"/>
        <v>59930.296000000009</v>
      </c>
      <c r="E14" s="73">
        <f t="shared" si="0"/>
        <v>62338.4395</v>
      </c>
      <c r="F14" s="65">
        <f t="shared" si="0"/>
        <v>64746.582999999999</v>
      </c>
      <c r="G14" s="65">
        <f t="shared" si="0"/>
        <v>67154.726500000004</v>
      </c>
      <c r="H14" s="65">
        <f t="shared" si="0"/>
        <v>69562.87</v>
      </c>
    </row>
    <row r="15" spans="1:8" ht="14.5">
      <c r="A15" s="66" t="s">
        <v>10</v>
      </c>
      <c r="B15" s="67">
        <f>B9-B14</f>
        <v>135000</v>
      </c>
      <c r="C15" s="67">
        <f t="shared" ref="C15:H15" si="1">C8-C14</f>
        <v>154961.0975</v>
      </c>
      <c r="D15" s="67">
        <f t="shared" si="1"/>
        <v>166718.50400000002</v>
      </c>
      <c r="E15" s="76">
        <f>E8-E14</f>
        <v>178475.9105</v>
      </c>
      <c r="F15" s="67">
        <f t="shared" si="1"/>
        <v>190233.31699999998</v>
      </c>
      <c r="G15" s="67">
        <f t="shared" si="1"/>
        <v>201990.72350000002</v>
      </c>
      <c r="H15" s="67">
        <f t="shared" si="1"/>
        <v>213748.13</v>
      </c>
    </row>
    <row r="16" spans="1:8" ht="14.5">
      <c r="A16" s="61" t="s">
        <v>11</v>
      </c>
      <c r="B16" s="68"/>
      <c r="C16" s="69">
        <f t="shared" ref="C16:H16" si="2">C15/$B$15-1</f>
        <v>0.14785998148148161</v>
      </c>
      <c r="D16" s="69">
        <f t="shared" si="2"/>
        <v>0.23495188148148149</v>
      </c>
      <c r="E16" s="75">
        <f t="shared" si="2"/>
        <v>0.32204378148148138</v>
      </c>
      <c r="F16" s="69">
        <f t="shared" si="2"/>
        <v>0.40913568148148127</v>
      </c>
      <c r="G16" s="69">
        <f t="shared" si="2"/>
        <v>0.49622758148148161</v>
      </c>
      <c r="H16" s="69">
        <f t="shared" si="2"/>
        <v>0.58331948148148149</v>
      </c>
    </row>
    <row r="19" spans="1:3" ht="14.5">
      <c r="A19" s="24" t="s">
        <v>12</v>
      </c>
      <c r="B19" s="24" t="s">
        <v>13</v>
      </c>
      <c r="C19" s="24" t="s">
        <v>14</v>
      </c>
    </row>
    <row r="20" spans="1:3" ht="14.5">
      <c r="A20" s="25" t="s">
        <v>15</v>
      </c>
      <c r="B20" s="26">
        <f>B32/12</f>
        <v>12500</v>
      </c>
      <c r="C20" s="26">
        <f>B39</f>
        <v>27667.5</v>
      </c>
    </row>
    <row r="21" spans="1:3" ht="14.5">
      <c r="A21" s="25" t="s">
        <v>16</v>
      </c>
      <c r="B21" s="26">
        <f t="shared" ref="B21:B31" si="3">B20</f>
        <v>12500</v>
      </c>
      <c r="C21" s="26">
        <f>C39</f>
        <v>25872</v>
      </c>
    </row>
    <row r="22" spans="1:3" ht="15.75" customHeight="1">
      <c r="A22" s="25" t="s">
        <v>17</v>
      </c>
      <c r="B22" s="26">
        <f t="shared" si="3"/>
        <v>12500</v>
      </c>
      <c r="C22" s="26">
        <f>D39</f>
        <v>27667.5</v>
      </c>
    </row>
    <row r="23" spans="1:3" ht="15.75" customHeight="1">
      <c r="A23" s="25" t="s">
        <v>18</v>
      </c>
      <c r="B23" s="26">
        <f t="shared" si="3"/>
        <v>12500</v>
      </c>
      <c r="C23" s="26">
        <f>E39</f>
        <v>25830</v>
      </c>
    </row>
    <row r="24" spans="1:3" ht="15.75" customHeight="1">
      <c r="A24" s="25" t="s">
        <v>19</v>
      </c>
      <c r="B24" s="26">
        <f t="shared" si="3"/>
        <v>12500</v>
      </c>
      <c r="C24" s="26">
        <f>F39</f>
        <v>24738</v>
      </c>
    </row>
    <row r="25" spans="1:3" ht="15.75" customHeight="1">
      <c r="A25" s="25" t="s">
        <v>20</v>
      </c>
      <c r="B25" s="26">
        <f t="shared" si="3"/>
        <v>12500</v>
      </c>
      <c r="C25" s="26">
        <f>G39</f>
        <v>17325</v>
      </c>
    </row>
    <row r="26" spans="1:3" ht="15.75" customHeight="1">
      <c r="A26" s="25" t="s">
        <v>21</v>
      </c>
      <c r="B26" s="26">
        <f t="shared" si="3"/>
        <v>12500</v>
      </c>
      <c r="C26" s="26">
        <f>H39</f>
        <v>16600.5</v>
      </c>
    </row>
    <row r="27" spans="1:3" ht="15.75" customHeight="1">
      <c r="A27" s="25" t="s">
        <v>22</v>
      </c>
      <c r="B27" s="26">
        <f t="shared" si="3"/>
        <v>12500</v>
      </c>
      <c r="C27" s="26">
        <f>I39</f>
        <v>18228</v>
      </c>
    </row>
    <row r="28" spans="1:3" ht="15.75" customHeight="1">
      <c r="A28" s="25" t="s">
        <v>23</v>
      </c>
      <c r="B28" s="26">
        <f t="shared" si="3"/>
        <v>12500</v>
      </c>
      <c r="C28" s="26">
        <f>J39</f>
        <v>19845</v>
      </c>
    </row>
    <row r="29" spans="1:3" ht="15.75" customHeight="1">
      <c r="A29" s="25" t="s">
        <v>24</v>
      </c>
      <c r="B29" s="26">
        <f t="shared" si="3"/>
        <v>12500</v>
      </c>
      <c r="C29" s="26">
        <f>K39</f>
        <v>22785</v>
      </c>
    </row>
    <row r="30" spans="1:3" ht="15.75" customHeight="1">
      <c r="A30" s="25" t="s">
        <v>25</v>
      </c>
      <c r="B30" s="26">
        <f t="shared" si="3"/>
        <v>12500</v>
      </c>
      <c r="C30" s="26">
        <f>L39</f>
        <v>25830</v>
      </c>
    </row>
    <row r="31" spans="1:3" ht="15.75" customHeight="1">
      <c r="A31" s="25" t="s">
        <v>26</v>
      </c>
      <c r="B31" s="26">
        <f t="shared" si="3"/>
        <v>12500</v>
      </c>
      <c r="C31" s="26">
        <f>M39</f>
        <v>30922.5</v>
      </c>
    </row>
    <row r="32" spans="1:3" ht="15.75" customHeight="1">
      <c r="B32" s="27">
        <v>150000</v>
      </c>
      <c r="C32" s="28">
        <f>SUM(C20:C31)</f>
        <v>283311</v>
      </c>
    </row>
    <row r="33" spans="1:26" ht="15.75" customHeight="1"/>
    <row r="34" spans="1:26" ht="15.75" customHeight="1"/>
    <row r="35" spans="1:26" ht="15.75" customHeight="1">
      <c r="B35" s="53">
        <v>1050</v>
      </c>
    </row>
    <row r="36" spans="1:26" ht="15.75" customHeight="1">
      <c r="A36" s="29"/>
      <c r="B36" s="30" t="s">
        <v>27</v>
      </c>
      <c r="C36" s="30" t="s">
        <v>28</v>
      </c>
      <c r="D36" s="30" t="s">
        <v>29</v>
      </c>
      <c r="E36" s="30" t="s">
        <v>30</v>
      </c>
      <c r="F36" s="30" t="s">
        <v>31</v>
      </c>
      <c r="G36" s="30" t="s">
        <v>32</v>
      </c>
      <c r="H36" s="30" t="s">
        <v>33</v>
      </c>
      <c r="I36" s="30" t="s">
        <v>34</v>
      </c>
      <c r="J36" s="30" t="s">
        <v>35</v>
      </c>
      <c r="K36" s="30" t="s">
        <v>36</v>
      </c>
      <c r="L36" s="30" t="s">
        <v>37</v>
      </c>
      <c r="M36" s="30" t="s">
        <v>38</v>
      </c>
      <c r="N36" s="31" t="s">
        <v>39</v>
      </c>
    </row>
    <row r="37" spans="1:26" ht="15.75" customHeight="1">
      <c r="A37" s="32" t="s">
        <v>40</v>
      </c>
      <c r="B37" s="70">
        <f>B35*85%</f>
        <v>892.5</v>
      </c>
      <c r="C37" s="34">
        <f>B35*88%</f>
        <v>924</v>
      </c>
      <c r="D37" s="34">
        <f>B35*85%</f>
        <v>892.5</v>
      </c>
      <c r="E37" s="34">
        <f>B35*82%</f>
        <v>861</v>
      </c>
      <c r="F37" s="34">
        <f>B35*76%</f>
        <v>798</v>
      </c>
      <c r="G37" s="34">
        <f>B35*55%</f>
        <v>577.5</v>
      </c>
      <c r="H37" s="34">
        <f>B35*51%</f>
        <v>535.5</v>
      </c>
      <c r="I37" s="34">
        <f>B35*56%</f>
        <v>588</v>
      </c>
      <c r="J37" s="34">
        <f>B35*63%</f>
        <v>661.5</v>
      </c>
      <c r="K37" s="34">
        <f>B35*70%</f>
        <v>735</v>
      </c>
      <c r="L37" s="34">
        <f>B35*82%</f>
        <v>861</v>
      </c>
      <c r="M37" s="34">
        <f>B35*95%</f>
        <v>997.5</v>
      </c>
      <c r="N37" s="71">
        <f>AVERAGE(B37:M37)</f>
        <v>777</v>
      </c>
    </row>
    <row r="38" spans="1:26" ht="15.75" customHeight="1">
      <c r="A38" s="32" t="s">
        <v>41</v>
      </c>
      <c r="B38" s="36">
        <v>31</v>
      </c>
      <c r="C38" s="36">
        <v>28</v>
      </c>
      <c r="D38" s="36">
        <v>31</v>
      </c>
      <c r="E38" s="36">
        <v>30</v>
      </c>
      <c r="F38" s="36">
        <v>31</v>
      </c>
      <c r="G38" s="36">
        <v>30</v>
      </c>
      <c r="H38" s="36">
        <v>31</v>
      </c>
      <c r="I38" s="36">
        <v>31</v>
      </c>
      <c r="J38" s="36">
        <v>30</v>
      </c>
      <c r="K38" s="36">
        <v>31</v>
      </c>
      <c r="L38" s="36">
        <v>30</v>
      </c>
      <c r="M38" s="36">
        <v>31</v>
      </c>
      <c r="N38" s="37">
        <f t="shared" ref="N38:N39" si="4">SUM(B38:M38)</f>
        <v>365</v>
      </c>
    </row>
    <row r="39" spans="1:26" ht="15.75" customHeight="1">
      <c r="A39" s="32" t="s">
        <v>42</v>
      </c>
      <c r="B39" s="34">
        <f t="shared" ref="B39:M39" si="5">B37*B38</f>
        <v>27667.5</v>
      </c>
      <c r="C39" s="34">
        <f t="shared" si="5"/>
        <v>25872</v>
      </c>
      <c r="D39" s="34">
        <f t="shared" si="5"/>
        <v>27667.5</v>
      </c>
      <c r="E39" s="34">
        <f t="shared" si="5"/>
        <v>25830</v>
      </c>
      <c r="F39" s="34">
        <f t="shared" si="5"/>
        <v>24738</v>
      </c>
      <c r="G39" s="34">
        <f t="shared" si="5"/>
        <v>17325</v>
      </c>
      <c r="H39" s="34">
        <f t="shared" si="5"/>
        <v>16600.5</v>
      </c>
      <c r="I39" s="34">
        <f t="shared" si="5"/>
        <v>18228</v>
      </c>
      <c r="J39" s="34">
        <f t="shared" si="5"/>
        <v>19845</v>
      </c>
      <c r="K39" s="34">
        <f t="shared" si="5"/>
        <v>22785</v>
      </c>
      <c r="L39" s="34">
        <f t="shared" si="5"/>
        <v>25830</v>
      </c>
      <c r="M39" s="34">
        <f t="shared" si="5"/>
        <v>30922.5</v>
      </c>
      <c r="N39" s="35">
        <f t="shared" si="4"/>
        <v>283311</v>
      </c>
    </row>
    <row r="40" spans="1:26" ht="15.75" customHeight="1"/>
    <row r="41" spans="1:26" ht="15.75" customHeight="1"/>
    <row r="42" spans="1:26" ht="15.75" customHeight="1"/>
    <row r="43" spans="1:26" ht="15.75" customHeight="1">
      <c r="A43" s="38" t="s">
        <v>43</v>
      </c>
      <c r="B43" s="39">
        <v>0.17</v>
      </c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C6:H6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B54FF-DB0C-40AE-96DB-1EC24182A3D6}">
  <dimension ref="A5:Z1001"/>
  <sheetViews>
    <sheetView workbookViewId="0">
      <selection activeCell="P4" sqref="P4"/>
    </sheetView>
  </sheetViews>
  <sheetFormatPr defaultColWidth="14.453125" defaultRowHeight="14.5"/>
  <cols>
    <col min="1" max="1" width="23.08984375" customWidth="1"/>
    <col min="2" max="2" width="10.453125" customWidth="1"/>
    <col min="3" max="6" width="11.90625" customWidth="1"/>
    <col min="7" max="26" width="8.6328125" customWidth="1"/>
  </cols>
  <sheetData>
    <row r="5" spans="1:8" ht="15" thickBot="1"/>
    <row r="6" spans="1:8" ht="29.5" thickBot="1">
      <c r="A6" s="1"/>
      <c r="B6" s="2" t="s">
        <v>0</v>
      </c>
      <c r="C6" s="54" t="s">
        <v>45</v>
      </c>
      <c r="D6" s="55"/>
      <c r="E6" s="55"/>
      <c r="F6" s="55"/>
      <c r="G6" s="55"/>
      <c r="H6" s="56"/>
    </row>
    <row r="7" spans="1:8" ht="15" thickBot="1">
      <c r="A7" s="3" t="s">
        <v>1</v>
      </c>
      <c r="B7" s="4" t="s">
        <v>2</v>
      </c>
      <c r="C7" s="5">
        <v>0.55000000000000004</v>
      </c>
      <c r="D7" s="6">
        <v>0.6</v>
      </c>
      <c r="E7" s="6">
        <v>0.65</v>
      </c>
      <c r="F7" s="49">
        <v>0.7</v>
      </c>
      <c r="G7" s="6">
        <v>0.75</v>
      </c>
      <c r="H7" s="7">
        <v>0.8</v>
      </c>
    </row>
    <row r="8" spans="1:8" ht="15" thickBot="1">
      <c r="A8" s="8" t="s">
        <v>3</v>
      </c>
      <c r="B8" s="9">
        <f>B32</f>
        <v>350000</v>
      </c>
      <c r="C8" s="10">
        <f>C7*C32</f>
        <v>430358.39481339441</v>
      </c>
      <c r="D8" s="11">
        <f>D7*C32</f>
        <v>469481.88525097567</v>
      </c>
      <c r="E8" s="11">
        <f>E7*C32</f>
        <v>508605.37568855705</v>
      </c>
      <c r="F8" s="50">
        <f>F7*C32</f>
        <v>547728.86612613825</v>
      </c>
      <c r="G8" s="11">
        <f>G7*C32</f>
        <v>586852.35656371969</v>
      </c>
      <c r="H8" s="12">
        <f>H7*C32</f>
        <v>625975.84700130101</v>
      </c>
    </row>
    <row r="9" spans="1:8" ht="15" thickBot="1">
      <c r="A9" s="8" t="s">
        <v>4</v>
      </c>
      <c r="B9" s="9">
        <f>B8*0.9</f>
        <v>315000</v>
      </c>
      <c r="C9" s="10"/>
      <c r="D9" s="11"/>
      <c r="E9" s="11"/>
      <c r="F9" s="50"/>
      <c r="G9" s="11"/>
      <c r="H9" s="12"/>
    </row>
    <row r="10" spans="1:8" ht="15" thickBot="1">
      <c r="A10" s="8" t="s">
        <v>5</v>
      </c>
      <c r="B10" s="9">
        <v>0</v>
      </c>
      <c r="C10" s="11">
        <v>6000</v>
      </c>
      <c r="D10" s="11">
        <v>6000</v>
      </c>
      <c r="E10" s="11">
        <v>6000</v>
      </c>
      <c r="F10" s="50">
        <v>6000</v>
      </c>
      <c r="G10" s="11">
        <v>6000</v>
      </c>
      <c r="H10" s="11">
        <v>6000</v>
      </c>
    </row>
    <row r="11" spans="1:8" ht="15" thickBot="1">
      <c r="A11" s="8" t="s">
        <v>6</v>
      </c>
      <c r="B11" s="9">
        <v>0</v>
      </c>
      <c r="C11" s="10">
        <v>12000</v>
      </c>
      <c r="D11" s="10">
        <v>12000</v>
      </c>
      <c r="E11" s="10">
        <v>12000</v>
      </c>
      <c r="F11" s="51">
        <v>12000</v>
      </c>
      <c r="G11" s="10">
        <v>12000</v>
      </c>
      <c r="H11" s="10">
        <v>12000</v>
      </c>
    </row>
    <row r="12" spans="1:8" ht="15" thickBot="1">
      <c r="A12" s="8" t="s">
        <v>7</v>
      </c>
      <c r="B12" s="9" t="s">
        <v>8</v>
      </c>
      <c r="C12" s="10">
        <v>6000</v>
      </c>
      <c r="D12" s="10">
        <v>6000</v>
      </c>
      <c r="E12" s="10">
        <v>6000</v>
      </c>
      <c r="F12" s="51">
        <v>6000</v>
      </c>
      <c r="G12" s="10">
        <v>6000</v>
      </c>
      <c r="H12" s="10">
        <v>6000</v>
      </c>
    </row>
    <row r="13" spans="1:8" ht="15" thickBot="1">
      <c r="A13" s="8" t="s">
        <v>44</v>
      </c>
      <c r="B13" s="9">
        <v>0</v>
      </c>
      <c r="C13" s="10">
        <f>C8*B43</f>
        <v>64553.759222009161</v>
      </c>
      <c r="D13" s="11">
        <f>D8*B43</f>
        <v>70422.282787646342</v>
      </c>
      <c r="E13" s="11">
        <f>E8*B43</f>
        <v>76290.806353283551</v>
      </c>
      <c r="F13" s="50">
        <f>F8*B43</f>
        <v>82159.329918920732</v>
      </c>
      <c r="G13" s="11">
        <f>G8*B43</f>
        <v>88027.853484557956</v>
      </c>
      <c r="H13" s="14">
        <f>H8*B43</f>
        <v>93896.377050195151</v>
      </c>
    </row>
    <row r="14" spans="1:8" ht="15" thickBot="1">
      <c r="A14" s="15" t="s">
        <v>9</v>
      </c>
      <c r="B14" s="16">
        <f t="shared" ref="B14:H14" si="0">SUM(B10:B13)</f>
        <v>0</v>
      </c>
      <c r="C14" s="13">
        <f t="shared" si="0"/>
        <v>88553.759222009161</v>
      </c>
      <c r="D14" s="17">
        <f t="shared" si="0"/>
        <v>94422.282787646342</v>
      </c>
      <c r="E14" s="40">
        <f t="shared" si="0"/>
        <v>100290.80635328355</v>
      </c>
      <c r="F14" s="52">
        <f t="shared" si="0"/>
        <v>106159.32991892073</v>
      </c>
      <c r="G14" s="17">
        <f t="shared" si="0"/>
        <v>112027.85348455796</v>
      </c>
      <c r="H14" s="18">
        <f t="shared" si="0"/>
        <v>117896.37705019515</v>
      </c>
    </row>
    <row r="15" spans="1:8" ht="15" thickBot="1">
      <c r="A15" s="43" t="s">
        <v>10</v>
      </c>
      <c r="B15" s="44">
        <f>B9-B14</f>
        <v>315000</v>
      </c>
      <c r="C15" s="45">
        <f t="shared" ref="C15:H15" si="1">C8-C14</f>
        <v>341804.63559138525</v>
      </c>
      <c r="D15" s="46">
        <f t="shared" si="1"/>
        <v>375059.60246332933</v>
      </c>
      <c r="E15" s="47">
        <f t="shared" si="1"/>
        <v>408314.56933527347</v>
      </c>
      <c r="F15" s="46">
        <f t="shared" si="1"/>
        <v>441569.53620721749</v>
      </c>
      <c r="G15" s="46">
        <f t="shared" si="1"/>
        <v>474824.50307916175</v>
      </c>
      <c r="H15" s="48">
        <f t="shared" si="1"/>
        <v>508079.46995110589</v>
      </c>
    </row>
    <row r="16" spans="1:8" ht="15" thickBot="1">
      <c r="A16" s="19" t="s">
        <v>11</v>
      </c>
      <c r="B16" s="20"/>
      <c r="C16" s="21">
        <f t="shared" ref="C16:H16" si="2">C15/$B$15-1</f>
        <v>8.5094081242492736E-2</v>
      </c>
      <c r="D16" s="22">
        <f t="shared" si="2"/>
        <v>0.19066540464548987</v>
      </c>
      <c r="E16" s="41">
        <f t="shared" si="2"/>
        <v>0.29623672804848722</v>
      </c>
      <c r="F16" s="42">
        <f t="shared" si="2"/>
        <v>0.40180805145148413</v>
      </c>
      <c r="G16" s="22">
        <f t="shared" si="2"/>
        <v>0.5073793748544817</v>
      </c>
      <c r="H16" s="23">
        <f t="shared" si="2"/>
        <v>0.61295069825747905</v>
      </c>
    </row>
    <row r="19" spans="1:3" ht="15" thickBot="1">
      <c r="A19" s="24" t="s">
        <v>12</v>
      </c>
      <c r="B19" s="24" t="s">
        <v>13</v>
      </c>
      <c r="C19" s="24" t="s">
        <v>14</v>
      </c>
    </row>
    <row r="20" spans="1:3" ht="15" thickBot="1">
      <c r="A20" s="25" t="s">
        <v>15</v>
      </c>
      <c r="B20" s="26">
        <f>B32/12</f>
        <v>29166.666666666668</v>
      </c>
      <c r="C20" s="26">
        <f>B39</f>
        <v>68200</v>
      </c>
    </row>
    <row r="21" spans="1:3" ht="15" thickBot="1">
      <c r="A21" s="25" t="s">
        <v>16</v>
      </c>
      <c r="B21" s="26">
        <f t="shared" ref="B21:B31" si="3">B20</f>
        <v>29166.666666666668</v>
      </c>
      <c r="C21" s="26">
        <f>C39</f>
        <v>61292</v>
      </c>
    </row>
    <row r="22" spans="1:3" ht="15.75" customHeight="1" thickBot="1">
      <c r="A22" s="25" t="s">
        <v>17</v>
      </c>
      <c r="B22" s="26">
        <f t="shared" si="3"/>
        <v>29166.666666666668</v>
      </c>
      <c r="C22" s="26">
        <f>D39</f>
        <v>67859</v>
      </c>
    </row>
    <row r="23" spans="1:3" ht="15.75" customHeight="1" thickBot="1">
      <c r="A23" s="25" t="s">
        <v>18</v>
      </c>
      <c r="B23" s="26">
        <f t="shared" si="3"/>
        <v>29166.666666666668</v>
      </c>
      <c r="C23" s="26">
        <f>E39</f>
        <v>64356.599999999991</v>
      </c>
    </row>
    <row r="24" spans="1:3" ht="15.75" customHeight="1" thickBot="1">
      <c r="A24" s="25" t="s">
        <v>19</v>
      </c>
      <c r="B24" s="26">
        <f t="shared" si="3"/>
        <v>29166.666666666668</v>
      </c>
      <c r="C24" s="26">
        <f>F39</f>
        <v>59918.139819999989</v>
      </c>
    </row>
    <row r="25" spans="1:3" ht="15.75" customHeight="1" thickBot="1">
      <c r="A25" s="25" t="s">
        <v>20</v>
      </c>
      <c r="B25" s="26">
        <f t="shared" si="3"/>
        <v>29166.666666666668</v>
      </c>
      <c r="C25" s="26">
        <f>G39</f>
        <v>57695.370116999991</v>
      </c>
    </row>
    <row r="26" spans="1:3" ht="15.75" customHeight="1" thickBot="1">
      <c r="A26" s="25" t="s">
        <v>21</v>
      </c>
      <c r="B26" s="26">
        <f t="shared" si="3"/>
        <v>29166.666666666668</v>
      </c>
      <c r="C26" s="26">
        <f>H39</f>
        <v>59618.549120899996</v>
      </c>
    </row>
    <row r="27" spans="1:3" ht="15.75" customHeight="1" thickBot="1">
      <c r="A27" s="25" t="s">
        <v>22</v>
      </c>
      <c r="B27" s="26">
        <f t="shared" si="3"/>
        <v>29166.666666666668</v>
      </c>
      <c r="C27" s="26">
        <f>I39</f>
        <v>60512.827357713497</v>
      </c>
    </row>
    <row r="28" spans="1:3" ht="15.75" customHeight="1" thickBot="1">
      <c r="A28" s="25" t="s">
        <v>23</v>
      </c>
      <c r="B28" s="26">
        <f t="shared" si="3"/>
        <v>29166.666666666668</v>
      </c>
      <c r="C28" s="26">
        <f>J39</f>
        <v>60903.232695505198</v>
      </c>
    </row>
    <row r="29" spans="1:3" ht="15.75" customHeight="1" thickBot="1">
      <c r="A29" s="25" t="s">
        <v>24</v>
      </c>
      <c r="B29" s="26">
        <f t="shared" si="3"/>
        <v>29166.666666666668</v>
      </c>
      <c r="C29" s="26">
        <f>K39</f>
        <v>66080.00747462314</v>
      </c>
    </row>
    <row r="30" spans="1:3" ht="15.75" customHeight="1" thickBot="1">
      <c r="A30" s="25" t="s">
        <v>25</v>
      </c>
      <c r="B30" s="26">
        <f t="shared" si="3"/>
        <v>29166.666666666668</v>
      </c>
      <c r="C30" s="26">
        <f>L39</f>
        <v>76738.073196336554</v>
      </c>
    </row>
    <row r="31" spans="1:3" ht="15.75" customHeight="1" thickBot="1">
      <c r="A31" s="25" t="s">
        <v>26</v>
      </c>
      <c r="B31" s="26">
        <f t="shared" si="3"/>
        <v>29166.666666666668</v>
      </c>
      <c r="C31" s="26">
        <f>M39</f>
        <v>79296.00896954778</v>
      </c>
    </row>
    <row r="32" spans="1:3" ht="15.75" customHeight="1">
      <c r="B32" s="27">
        <v>350000</v>
      </c>
      <c r="C32" s="28">
        <f>SUM(C20:C31)</f>
        <v>782469.80875162617</v>
      </c>
    </row>
    <row r="33" spans="1:26" ht="15.75" customHeight="1"/>
    <row r="34" spans="1:26" ht="15.75" customHeight="1"/>
    <row r="35" spans="1:26" ht="15.75" customHeight="1"/>
    <row r="36" spans="1:26" ht="15.75" customHeight="1">
      <c r="A36" s="29"/>
      <c r="B36" s="30" t="s">
        <v>27</v>
      </c>
      <c r="C36" s="30" t="s">
        <v>28</v>
      </c>
      <c r="D36" s="30" t="s">
        <v>29</v>
      </c>
      <c r="E36" s="30" t="s">
        <v>30</v>
      </c>
      <c r="F36" s="30" t="s">
        <v>31</v>
      </c>
      <c r="G36" s="30" t="s">
        <v>32</v>
      </c>
      <c r="H36" s="30" t="s">
        <v>33</v>
      </c>
      <c r="I36" s="30" t="s">
        <v>34</v>
      </c>
      <c r="J36" s="30" t="s">
        <v>35</v>
      </c>
      <c r="K36" s="30" t="s">
        <v>36</v>
      </c>
      <c r="L36" s="30" t="s">
        <v>37</v>
      </c>
      <c r="M36" s="30" t="s">
        <v>38</v>
      </c>
      <c r="N36" s="31" t="s">
        <v>39</v>
      </c>
    </row>
    <row r="37" spans="1:26" ht="15.75" customHeight="1">
      <c r="A37" s="32" t="s">
        <v>40</v>
      </c>
      <c r="B37" s="33">
        <v>2200</v>
      </c>
      <c r="C37" s="34">
        <f>B37-(B37*0.005)</f>
        <v>2189</v>
      </c>
      <c r="D37" s="34">
        <f>C37</f>
        <v>2189</v>
      </c>
      <c r="E37" s="34">
        <f>D37-D37*0.02</f>
        <v>2145.2199999999998</v>
      </c>
      <c r="F37" s="34">
        <f>E37-(E37*0.099)</f>
        <v>1932.8432199999997</v>
      </c>
      <c r="G37" s="34">
        <f>F37-(F37*0.005)</f>
        <v>1923.1790038999998</v>
      </c>
      <c r="H37" s="34">
        <f>G37</f>
        <v>1923.1790038999998</v>
      </c>
      <c r="I37" s="34">
        <f>H37+(H37*0.015)</f>
        <v>1952.0266889584998</v>
      </c>
      <c r="J37" s="34">
        <f>I37+(I37*0.04)</f>
        <v>2030.1077565168398</v>
      </c>
      <c r="K37" s="34">
        <f>J37*1.05</f>
        <v>2131.6131443426821</v>
      </c>
      <c r="L37" s="34">
        <f>K37*1.2</f>
        <v>2557.9357732112185</v>
      </c>
      <c r="M37" s="34">
        <f>L37</f>
        <v>2557.9357732112185</v>
      </c>
      <c r="N37" s="35">
        <f>AVERAGE(B37:M37)</f>
        <v>2144.3366970033717</v>
      </c>
    </row>
    <row r="38" spans="1:26" ht="15.75" customHeight="1">
      <c r="A38" s="32" t="s">
        <v>41</v>
      </c>
      <c r="B38" s="36">
        <v>31</v>
      </c>
      <c r="C38" s="36">
        <v>28</v>
      </c>
      <c r="D38" s="36">
        <v>31</v>
      </c>
      <c r="E38" s="36">
        <v>30</v>
      </c>
      <c r="F38" s="36">
        <v>31</v>
      </c>
      <c r="G38" s="36">
        <v>30</v>
      </c>
      <c r="H38" s="36">
        <v>31</v>
      </c>
      <c r="I38" s="36">
        <v>31</v>
      </c>
      <c r="J38" s="36">
        <v>30</v>
      </c>
      <c r="K38" s="36">
        <v>31</v>
      </c>
      <c r="L38" s="36">
        <v>30</v>
      </c>
      <c r="M38" s="36">
        <v>31</v>
      </c>
      <c r="N38" s="37">
        <f t="shared" ref="N38:N39" si="4">SUM(B38:M38)</f>
        <v>365</v>
      </c>
    </row>
    <row r="39" spans="1:26" ht="15.75" customHeight="1">
      <c r="A39" s="32" t="s">
        <v>42</v>
      </c>
      <c r="B39" s="34">
        <f t="shared" ref="B39:M39" si="5">B37*B38</f>
        <v>68200</v>
      </c>
      <c r="C39" s="34">
        <f t="shared" si="5"/>
        <v>61292</v>
      </c>
      <c r="D39" s="34">
        <f t="shared" si="5"/>
        <v>67859</v>
      </c>
      <c r="E39" s="34">
        <f t="shared" si="5"/>
        <v>64356.599999999991</v>
      </c>
      <c r="F39" s="34">
        <f t="shared" si="5"/>
        <v>59918.139819999989</v>
      </c>
      <c r="G39" s="34">
        <f t="shared" si="5"/>
        <v>57695.370116999991</v>
      </c>
      <c r="H39" s="34">
        <f t="shared" si="5"/>
        <v>59618.549120899996</v>
      </c>
      <c r="I39" s="34">
        <f t="shared" si="5"/>
        <v>60512.827357713497</v>
      </c>
      <c r="J39" s="34">
        <f t="shared" si="5"/>
        <v>60903.232695505198</v>
      </c>
      <c r="K39" s="34">
        <f t="shared" si="5"/>
        <v>66080.00747462314</v>
      </c>
      <c r="L39" s="34">
        <f t="shared" si="5"/>
        <v>76738.073196336554</v>
      </c>
      <c r="M39" s="34">
        <f t="shared" si="5"/>
        <v>79296.00896954778</v>
      </c>
      <c r="N39" s="35">
        <f t="shared" si="4"/>
        <v>782469.80875162617</v>
      </c>
    </row>
    <row r="40" spans="1:26" ht="15.75" customHeight="1"/>
    <row r="41" spans="1:26" ht="15.75" customHeight="1"/>
    <row r="42" spans="1:26" ht="15.75" customHeight="1"/>
    <row r="43" spans="1:26" ht="15.75" customHeight="1">
      <c r="A43" s="38" t="s">
        <v>43</v>
      </c>
      <c r="B43" s="39">
        <v>0.15</v>
      </c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C6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Calculator</vt:lpstr>
      <vt:lpstr>Villa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 M Alnajjar</dc:creator>
  <cp:lastModifiedBy>User</cp:lastModifiedBy>
  <dcterms:created xsi:type="dcterms:W3CDTF">2015-06-05T18:17:20Z</dcterms:created>
  <dcterms:modified xsi:type="dcterms:W3CDTF">2025-11-17T11:14:09Z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Name">
    <vt:lpwstr/>
  </property>
</Properties>
</file>